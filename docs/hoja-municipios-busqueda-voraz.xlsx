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Municipios" sheetId="2" r:id="rId6"/>
    <sheet state="visible" name="Conexiones" sheetId="3" r:id="rId7"/>
    <sheet state="visible" name="Resumen" sheetId="4" r:id="rId8"/>
  </sheets>
  <definedNames/>
  <calcPr/>
</workbook>
</file>

<file path=xl/sharedStrings.xml><?xml version="1.0" encoding="utf-8"?>
<sst xmlns="http://schemas.openxmlformats.org/spreadsheetml/2006/main" count="252" uniqueCount="115">
  <si>
    <t>Hoja compartida: búsqueda voraz entre 20 municipios de Colombia</t>
  </si>
  <si>
    <t>Municipio 1</t>
  </si>
  <si>
    <t>#</t>
  </si>
  <si>
    <t>Aquí todo el equipo sube los datos que necesita el programa. Cada quien llena solo lo suyo.</t>
  </si>
  <si>
    <t>Municipio 2</t>
  </si>
  <si>
    <t>Km por carretera</t>
  </si>
  <si>
    <t>Anotado por</t>
  </si>
  <si>
    <t>Fuente o nota</t>
  </si>
  <si>
    <t>Verificación</t>
  </si>
  <si>
    <t>Cómo leer los colores</t>
  </si>
  <si>
    <t>Resumen de avance</t>
  </si>
  <si>
    <t>Celdas AMARILLAS: las llenas tú (responsable, latitud, longitud, fuente, conexiones).</t>
  </si>
  <si>
    <t>Celdas GRISES: se calculan solas, no las edites.</t>
  </si>
  <si>
    <t>Pasos</t>
  </si>
  <si>
    <t>1. En la hoja 'Municipios', escribe tu nombre en la columna 'Responsable' de los 5 municipios que escojas. El primero que llegue escoge, y no se pueden repetir.</t>
  </si>
  <si>
    <t>2. Para cada uno de tus 5, escribe la latitud y la longitud en grados decimales, con COMA (no punto), y la fuente de donde la sacaste. En Colombia la latitud es positiva (norte) y la longitud es negativa (oeste). La hoja rechaza valores fuera de Colombia.</t>
  </si>
  <si>
    <t>Municipio</t>
  </si>
  <si>
    <t>Departamento</t>
  </si>
  <si>
    <t>Control</t>
  </si>
  <si>
    <t>3. En la hoja 'Conexiones', registra para cada uno de tus 5 municipios entre 2 y 4 vecinos directos por carretera principal. Elige los dos municipios de la lista desplegable y escribe los km por carretera (Google Maps sirve).</t>
  </si>
  <si>
    <t>Zona</t>
  </si>
  <si>
    <t>Responsable</t>
  </si>
  <si>
    <t>4. Cada conexión se anota UNA sola vez, en cualquiera de los dos sentidos. Antes de agregarla, mira si ya existe. La columna 'Verificación' avisa si está DUPLICADA.</t>
  </si>
  <si>
    <t>Latitud</t>
  </si>
  <si>
    <t>Longitud</t>
  </si>
  <si>
    <t>5. Revisa la hoja 'Resumen': al final los 20 municipios deben estar en 'OK', sin municipios sin conexiones ni conexiones con problemas.</t>
  </si>
  <si>
    <t>Valor</t>
  </si>
  <si>
    <t>Fuente de las coordenadas</t>
  </si>
  <si>
    <t>Meta</t>
  </si>
  <si>
    <t>Importante</t>
  </si>
  <si>
    <t>N.º de conexiones</t>
  </si>
  <si>
    <t>Estado</t>
  </si>
  <si>
    <t>La distancia en línea recta NO se anota: el programa la calcula con la fórmula de Haversine a partir de las coordenadas. Lo que sí se anota a mano son los km por carretera entre vecinos.</t>
  </si>
  <si>
    <t>Usen todos el mismo formato y la misma fuente cuando puedan (por ejemplo, Google Maps o el IGAC).</t>
  </si>
  <si>
    <t>Municipios con responsable</t>
  </si>
  <si>
    <t>La lista de 20 municipios es una propuesta. Si el profesor pide otra, se cambian los nombres en la columna B de 'Municipios' y las listas desplegables se actualizan solas.</t>
  </si>
  <si>
    <t>Ejemplos de formato (solo para ver cómo se escribe; verifica siempre en tu fuente)</t>
  </si>
  <si>
    <t>Santa Marta</t>
  </si>
  <si>
    <t>Hoja Municipios:   Medellín | Antioquia | Responsable: Ana | Latitud: 6,2476 | Longitud: -75,5658 | Fuente: Google Maps</t>
  </si>
  <si>
    <t>Barranquilla</t>
  </si>
  <si>
    <t>Atlántico</t>
  </si>
  <si>
    <t>Caribe</t>
  </si>
  <si>
    <t>Johan</t>
  </si>
  <si>
    <t>Hoja Conexiones:   Medellín | Manizales | 190 | Anotado por: Ana | Nota: Google Maps, ruta por La Pintada</t>
  </si>
  <si>
    <t>Juliana</t>
  </si>
  <si>
    <t>Google Maps</t>
  </si>
  <si>
    <r>
      <rPr>
        <rFont val="Arial"/>
        <color rgb="FF000000"/>
        <sz val="10.0"/>
      </rPr>
      <t>geodatos.net</t>
    </r>
    <r>
      <rPr>
        <rFont val="Arial"/>
        <color theme="1"/>
        <sz val="10.0"/>
      </rPr>
      <t xml:space="preserve"> (https://www.geodatos.net/coordenadas/colombia/barranquilla#google_vignette)</t>
    </r>
  </si>
  <si>
    <t>20</t>
  </si>
  <si>
    <t>Municipios con coordenadas completas</t>
  </si>
  <si>
    <t>Conexiones válidas registradas</t>
  </si>
  <si>
    <t>Mínimo 19 para poder conectar los 20 (lo normal: 20 a 40)</t>
  </si>
  <si>
    <t>Valledupar</t>
  </si>
  <si>
    <t>Conexiones con problema (duplicadas, sin km, etc.)</t>
  </si>
  <si>
    <t>Armenia</t>
  </si>
  <si>
    <t>Pereira</t>
  </si>
  <si>
    <t>Cartagena</t>
  </si>
  <si>
    <t>Bolívar</t>
  </si>
  <si>
    <t>Dani</t>
  </si>
  <si>
    <t>0</t>
  </si>
  <si>
    <t>Cali</t>
  </si>
  <si>
    <r>
      <rPr>
        <rFont val="Arial"/>
        <color rgb="FF1155CC"/>
        <sz val="10.0"/>
        <u/>
      </rPr>
      <t>geodatos.net</t>
    </r>
    <r>
      <rPr>
        <rFont val="Arial"/>
        <sz val="10.0"/>
      </rPr>
      <t xml:space="preserve"> (https://www.geodatos.net/coordenadas/colombia/cartagena-de-indias)</t>
    </r>
  </si>
  <si>
    <t>Municipios sin ninguna conexión</t>
  </si>
  <si>
    <t>Ibagué</t>
  </si>
  <si>
    <t>Bucaramanga</t>
  </si>
  <si>
    <t>Municipios con estado OK</t>
  </si>
  <si>
    <t>Barrancabermeja</t>
  </si>
  <si>
    <t>Tunja</t>
  </si>
  <si>
    <t>Cúcuta</t>
  </si>
  <si>
    <t>Nota: estos controles no verifican que el grafo completo esté conectado (que desde cualquier municipio se llegue a cualquier otro). Eso lo debe comprobar quien consolide los datos antes de programar.</t>
  </si>
  <si>
    <t>Villavicencio</t>
  </si>
  <si>
    <t>Soacha</t>
  </si>
  <si>
    <t>Pasto</t>
  </si>
  <si>
    <t>Popayán</t>
  </si>
  <si>
    <t>Medellín</t>
  </si>
  <si>
    <t>Manizales</t>
  </si>
  <si>
    <t>Mariana</t>
  </si>
  <si>
    <t>Magdalena</t>
  </si>
  <si>
    <t>Alcaldía Distrital de Santa Marta (santamarta.gov.co/geografia)</t>
  </si>
  <si>
    <t>Cesar</t>
  </si>
  <si>
    <t>Neiva</t>
  </si>
  <si>
    <r>
      <rPr>
        <rFont val="Arial"/>
        <sz val="10.0"/>
      </rPr>
      <t>geodatos .net (</t>
    </r>
    <r>
      <rPr>
        <rFont val="Arial"/>
        <color rgb="FF1155CC"/>
        <sz val="10.0"/>
        <u/>
      </rPr>
      <t>https://www.geodatos.net/coordenadas/colombia/valledupar</t>
    </r>
    <r>
      <rPr>
        <rFont val="Arial"/>
        <sz val="10.0"/>
      </rPr>
      <t>)</t>
    </r>
  </si>
  <si>
    <t>Montería</t>
  </si>
  <si>
    <t>Córdoba</t>
  </si>
  <si>
    <t>geodatos .net (https://www.geodatos.net/coordenadas/colombia/monteria)</t>
  </si>
  <si>
    <t>Antioquia</t>
  </si>
  <si>
    <t>Occidente y Eje Cafetero</t>
  </si>
  <si>
    <r>
      <rPr>
        <rFont val="Arial"/>
        <color rgb="FF000000"/>
        <sz val="10.0"/>
      </rPr>
      <t>Municipio.com</t>
    </r>
    <r>
      <rPr>
        <rFont val="Arial"/>
        <color rgb="FF1F1F1F"/>
        <sz val="10.0"/>
      </rPr>
      <t xml:space="preserve"> (https://www.municipio.com.co/municipio-medellin.html)</t>
    </r>
  </si>
  <si>
    <t>Caldas</t>
  </si>
  <si>
    <r>
      <rPr>
        <rFont val="Arial"/>
        <sz val="10.0"/>
      </rPr>
      <t>geo</t>
    </r>
    <r>
      <rPr>
        <rFont val="Arial"/>
        <color rgb="FF1155CC"/>
        <sz val="10.0"/>
        <u/>
      </rPr>
      <t>datos.net</t>
    </r>
    <r>
      <rPr>
        <rFont val="Arial"/>
        <sz val="10.0"/>
      </rPr>
      <t xml:space="preserve"> (https://www.geodatos.net/coordenadas/colombia/manizales#google_vignette)</t>
    </r>
  </si>
  <si>
    <t>Risaralda</t>
  </si>
  <si>
    <r>
      <rPr>
        <rFont val="Arial"/>
        <color rgb="FF000000"/>
        <sz val="10.0"/>
      </rPr>
      <t>geodatos.net</t>
    </r>
    <r>
      <rPr>
        <rFont val="Arial"/>
        <color theme="1"/>
        <sz val="10.0"/>
      </rPr>
      <t xml:space="preserve"> (https://www.geodatos.net/coordenadas/colombia/pereira)</t>
    </r>
  </si>
  <si>
    <t>Quindío</t>
  </si>
  <si>
    <t>Alcaldía de Armenia (armenia.gov.co)</t>
  </si>
  <si>
    <t>Valle del Cauca</t>
  </si>
  <si>
    <r>
      <rPr>
        <rFont val="Arial"/>
        <color rgb="FF000000"/>
        <sz val="10.0"/>
      </rPr>
      <t>geodatos.net</t>
    </r>
    <r>
      <rPr>
        <rFont val="Arial"/>
        <color theme="1"/>
        <sz val="10.0"/>
      </rPr>
      <t xml:space="preserve">  (https://www.geodatos.net/coordenadas/colombia/cali)</t>
    </r>
  </si>
  <si>
    <t>Cundinamarca</t>
  </si>
  <si>
    <t>Centro y Nororiente</t>
  </si>
  <si>
    <r>
      <rPr>
        <rFont val="Arial"/>
        <color rgb="FF1155CC"/>
        <sz val="10.0"/>
        <u/>
      </rPr>
      <t>geodatos.net</t>
    </r>
    <r>
      <rPr>
        <rFont val="Arial"/>
        <sz val="10.0"/>
      </rPr>
      <t xml:space="preserve"> (https://www.geodatos.net/coordenadas/colombia/soacha#google_vignette)</t>
    </r>
  </si>
  <si>
    <t>Boyacá</t>
  </si>
  <si>
    <r>
      <rPr>
        <rFont val="Arial"/>
        <color rgb="FF1155CC"/>
        <sz val="10.0"/>
        <u/>
      </rPr>
      <t>geodatos.net</t>
    </r>
    <r>
      <rPr>
        <rFont val="Arial"/>
        <sz val="10.0"/>
      </rPr>
      <t xml:space="preserve"> (https://www.geodatos.net/coordenadas/colombia/tunja)</t>
    </r>
  </si>
  <si>
    <t>Santander</t>
  </si>
  <si>
    <t>MapCarta (https://mapcarta.com/es/Bucaramanga)</t>
  </si>
  <si>
    <t>Norte de Santander</t>
  </si>
  <si>
    <r>
      <rPr>
        <rFont val="Arial"/>
        <color rgb="FF0000FF"/>
        <sz val="10.0"/>
        <u/>
      </rPr>
      <t>geodatos.net</t>
    </r>
    <r>
      <rPr>
        <rFont val="Arial"/>
        <color rgb="FF1F1F1F"/>
        <sz val="10.0"/>
      </rPr>
      <t xml:space="preserve"> (https://www.geodatos.net/coordenadas/colombia/cucuta)</t>
    </r>
  </si>
  <si>
    <r>
      <rPr>
        <rFont val="Arial"/>
        <color theme="1"/>
        <sz val="10.0"/>
      </rPr>
      <t>Municipio.com (</t>
    </r>
    <r>
      <rPr>
        <rFont val="Arial"/>
        <color rgb="FF000000"/>
        <sz val="10.0"/>
      </rPr>
      <t>https://www.municipio.com.co/municipio-barrancabermeja.html</t>
    </r>
    <r>
      <rPr>
        <rFont val="Arial"/>
        <color theme="1"/>
        <sz val="10.0"/>
      </rPr>
      <t>)</t>
    </r>
  </si>
  <si>
    <t>Sur y Llanos</t>
  </si>
  <si>
    <t>Municipio.com (https://www.municipio.com.co/municipio-villavicencio.html)</t>
  </si>
  <si>
    <t>Tolima</t>
  </si>
  <si>
    <t>Municipio.com (https://www.municipio.com.co/municipio-ibague.html)</t>
  </si>
  <si>
    <t>Huila</t>
  </si>
  <si>
    <r>
      <rPr>
        <rFont val="Arial"/>
        <color rgb="FF1155CC"/>
        <sz val="10.0"/>
        <u/>
      </rPr>
      <t>Geodatos.net</t>
    </r>
    <r>
      <rPr>
        <rFont val="Arial"/>
        <sz val="10.0"/>
      </rPr>
      <t xml:space="preserve"> (https://www.geodatos.net/coordenadas/colombia/neiva)</t>
    </r>
  </si>
  <si>
    <t>Cauca</t>
  </si>
  <si>
    <r>
      <rPr>
        <rFont val="Arial"/>
        <color rgb="FF000000"/>
        <sz val="10.0"/>
      </rPr>
      <t>Geodatos.net</t>
    </r>
    <r>
      <rPr>
        <rFont val="Arial"/>
        <color theme="1"/>
        <sz val="10.0"/>
      </rPr>
      <t xml:space="preserve"> (https://www.geodatos.net/coordenadas/colombia/popayan)</t>
    </r>
  </si>
  <si>
    <t>Nariño</t>
  </si>
  <si>
    <t>Alcaldia de Pasto (https://www.pasto.gov.co/index.php/nuestro-municipio/informacion-general)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</si>
</sst>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000"/>
  </numFmts>
  <fonts count="8">
    <font>
      <sz val="11.0"/>
      <color theme="1"/>
      <name val="Calibri"/>
      <scheme val="minor"/>
    </font>
    <font>
      <b/>
      <sz val="14.0"/>
      <color rgb="FF1F4E79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1F4E79"/>
      <name val="Arial"/>
    </font>
    <font>
      <i/>
      <sz val="10.0"/>
      <color rgb="FF555555"/>
      <name val="Arial"/>
    </font>
    <font>
      <u/>
      <sz val="10.0"/>
      <color rgb="FF0000FF"/>
      <name val="Arial"/>
    </font>
    <font>
      <sz val="10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1" fillId="3" fontId="3" numFmtId="164" xfId="0" applyAlignment="1" applyBorder="1" applyFill="1" applyFont="1" applyNumberFormat="1">
      <alignment horizontal="center" readingOrder="0" shrinkToFit="0" vertical="center" wrapText="1"/>
    </xf>
    <xf borderId="1" fillId="3" fontId="3" numFmtId="165" xfId="0" applyAlignment="1" applyBorder="1" applyFill="1" applyFont="1" applyNumberForma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left" readingOrder="0" shrinkToFit="0" vertical="center" wrapText="1"/>
    </xf>
    <xf borderId="1" fillId="3" fontId="7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3" fontId="3" numFmtId="164" xfId="0" applyAlignment="1" applyBorder="1" applyFill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geodatos.net/" TargetMode="External"/><Relationship Id="rId2" Type="http://schemas.openxmlformats.org/officeDocument/2006/relationships/hyperlink" Target="https://www.geodatos.net/coordenadas/colombia/valledupar" TargetMode="External"/><Relationship Id="rId3" Type="http://schemas.openxmlformats.org/officeDocument/2006/relationships/hyperlink" Target="http://datos.net/" TargetMode="External"/><Relationship Id="rId4" Type="http://schemas.openxmlformats.org/officeDocument/2006/relationships/hyperlink" Target="http://geodatos.net/" TargetMode="External"/><Relationship Id="rId5" Type="http://schemas.openxmlformats.org/officeDocument/2006/relationships/hyperlink" Target="http://geodatos.net/" TargetMode="External"/><Relationship Id="rId6" Type="http://schemas.openxmlformats.org/officeDocument/2006/relationships/hyperlink" Target="http://geodatos.net/" TargetMode="External"/><Relationship Id="rId7" Type="http://schemas.openxmlformats.org/officeDocument/2006/relationships/hyperlink" Target="http://geodatos.net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 ht="25.5" customHeight="1">
      <c r="A1" s="1" t="s">
        <v>0</v>
      </c>
    </row>
    <row r="2" ht="30.0" customHeight="1">
      <c r="A2" s="3" t="s">
        <v>3</v>
      </c>
    </row>
    <row r="3" ht="7.5" customHeight="1">
      <c r="A3" s="3"/>
    </row>
    <row r="4" ht="18.0" customHeight="1">
      <c r="A4" s="4" t="s">
        <v>9</v>
      </c>
    </row>
    <row r="5" ht="30.0" customHeight="1">
      <c r="A5" s="3" t="s">
        <v>11</v>
      </c>
    </row>
    <row r="6" ht="18.0" customHeight="1">
      <c r="A6" s="3" t="s">
        <v>12</v>
      </c>
    </row>
    <row r="7" ht="7.5" customHeight="1">
      <c r="A7" s="3"/>
    </row>
    <row r="8" ht="18.0" customHeight="1">
      <c r="A8" s="4" t="s">
        <v>13</v>
      </c>
    </row>
    <row r="9" ht="30.0" customHeight="1">
      <c r="A9" s="3" t="s">
        <v>14</v>
      </c>
    </row>
    <row r="10" ht="60.0" customHeight="1">
      <c r="A10" s="6" t="s">
        <v>15</v>
      </c>
    </row>
    <row r="11" ht="45.0" customHeight="1">
      <c r="A11" s="3" t="s">
        <v>19</v>
      </c>
    </row>
    <row r="12" ht="30.0" customHeight="1">
      <c r="A12" s="3" t="s">
        <v>22</v>
      </c>
    </row>
    <row r="13" ht="30.0" customHeight="1">
      <c r="A13" s="3" t="s">
        <v>25</v>
      </c>
    </row>
    <row r="14" ht="7.5" customHeight="1">
      <c r="A14" s="3"/>
    </row>
    <row r="15" ht="18.0" customHeight="1">
      <c r="A15" s="4" t="s">
        <v>29</v>
      </c>
    </row>
    <row r="16" ht="45.0" customHeight="1">
      <c r="A16" s="3" t="s">
        <v>32</v>
      </c>
    </row>
    <row r="17" ht="30.0" customHeight="1">
      <c r="A17" s="3" t="s">
        <v>33</v>
      </c>
    </row>
    <row r="18" ht="45.0" customHeight="1">
      <c r="A18" s="3" t="s">
        <v>35</v>
      </c>
    </row>
    <row r="19" ht="7.5" customHeight="1">
      <c r="A19" s="3"/>
    </row>
    <row r="20" ht="18.0" customHeight="1">
      <c r="A20" s="4" t="s">
        <v>36</v>
      </c>
    </row>
    <row r="21" ht="30.0" customHeight="1">
      <c r="A21" s="10" t="s">
        <v>38</v>
      </c>
    </row>
    <row r="22" ht="30.0" customHeight="1">
      <c r="A22" s="11" t="s">
        <v>43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22.0"/>
    <col customWidth="1" min="4" max="4" width="26.0"/>
    <col customWidth="1" min="5" max="5" width="18.0"/>
    <col customWidth="1" min="6" max="7" width="12.0"/>
    <col customWidth="1" min="8" max="8" width="30.0"/>
    <col customWidth="1" min="9" max="9" width="14.0"/>
    <col customWidth="1" min="10" max="10" width="26.0"/>
    <col customWidth="1" min="11" max="26" width="8.71"/>
  </cols>
  <sheetData>
    <row r="1" ht="31.5" customHeight="1">
      <c r="A1" s="2" t="s">
        <v>2</v>
      </c>
      <c r="B1" s="2" t="s">
        <v>16</v>
      </c>
      <c r="C1" s="2" t="s">
        <v>17</v>
      </c>
      <c r="D1" s="2" t="s">
        <v>20</v>
      </c>
      <c r="E1" s="2" t="s">
        <v>21</v>
      </c>
      <c r="F1" s="2" t="s">
        <v>23</v>
      </c>
      <c r="G1" s="2" t="s">
        <v>24</v>
      </c>
      <c r="H1" s="2" t="s">
        <v>27</v>
      </c>
      <c r="I1" s="2" t="s">
        <v>30</v>
      </c>
      <c r="J1" s="2" t="s">
        <v>31</v>
      </c>
    </row>
    <row r="2">
      <c r="A2" s="8">
        <v>1.0</v>
      </c>
      <c r="B2" s="7" t="s">
        <v>39</v>
      </c>
      <c r="C2" s="7" t="s">
        <v>40</v>
      </c>
      <c r="D2" s="7" t="s">
        <v>41</v>
      </c>
      <c r="E2" s="9" t="s">
        <v>42</v>
      </c>
      <c r="F2" s="13">
        <v>10.96854</v>
      </c>
      <c r="G2" s="13">
        <v>-74.78132</v>
      </c>
      <c r="H2" s="15" t="s">
        <v>46</v>
      </c>
      <c r="I2" s="14">
        <f>COUNTIF(Conexiones!$A$2:$A$60,B2)+COUNTIF(Conexiones!$B$2:$B$60,B2)</f>
        <v>2</v>
      </c>
      <c r="J2" s="16" t="str">
        <f t="shared" ref="J2:J21" si="1">IF(E2="","Sin responsable",IF(OR(F2="",G2=""),"Faltan coordenadas",IF(I2=0,"Sin conexiones","OK")))</f>
        <v>OK</v>
      </c>
    </row>
    <row r="3">
      <c r="A3" s="8">
        <v>2.0</v>
      </c>
      <c r="B3" s="7" t="s">
        <v>55</v>
      </c>
      <c r="C3" s="7" t="s">
        <v>56</v>
      </c>
      <c r="D3" s="7" t="s">
        <v>41</v>
      </c>
      <c r="E3" s="9" t="s">
        <v>57</v>
      </c>
      <c r="F3" s="13">
        <v>10.39817</v>
      </c>
      <c r="G3" s="13">
        <v>-75.49328</v>
      </c>
      <c r="H3" s="17" t="s">
        <v>60</v>
      </c>
      <c r="I3" s="14">
        <f>COUNTIF(Conexiones!$A$2:$A$60,B3)+COUNTIF(Conexiones!$B$2:$B$60,B3)</f>
        <v>2</v>
      </c>
      <c r="J3" s="16" t="str">
        <f t="shared" si="1"/>
        <v>OK</v>
      </c>
    </row>
    <row r="4">
      <c r="A4" s="8">
        <v>3.0</v>
      </c>
      <c r="B4" s="7" t="s">
        <v>37</v>
      </c>
      <c r="C4" s="7" t="s">
        <v>76</v>
      </c>
      <c r="D4" s="7" t="s">
        <v>41</v>
      </c>
      <c r="E4" s="9" t="s">
        <v>44</v>
      </c>
      <c r="F4" s="13">
        <v>11.2472</v>
      </c>
      <c r="G4" s="13">
        <v>-74.2017</v>
      </c>
      <c r="H4" s="9" t="s">
        <v>77</v>
      </c>
      <c r="I4" s="14">
        <f>COUNTIF(Conexiones!$A$2:$A$60,B4)+COUNTIF(Conexiones!$B$2:$B$60,B4)</f>
        <v>2</v>
      </c>
      <c r="J4" s="16" t="str">
        <f t="shared" si="1"/>
        <v>OK</v>
      </c>
    </row>
    <row r="5">
      <c r="A5" s="8">
        <v>4.0</v>
      </c>
      <c r="B5" s="7" t="s">
        <v>51</v>
      </c>
      <c r="C5" s="7" t="s">
        <v>78</v>
      </c>
      <c r="D5" s="7" t="s">
        <v>41</v>
      </c>
      <c r="E5" s="9" t="s">
        <v>57</v>
      </c>
      <c r="F5" s="13">
        <v>10.46538</v>
      </c>
      <c r="G5" s="13">
        <v>-73.2531</v>
      </c>
      <c r="H5" s="17" t="s">
        <v>80</v>
      </c>
      <c r="I5" s="14">
        <f>COUNTIF(Conexiones!$A$2:$A$60,B5)+COUNTIF(Conexiones!$B$2:$B$60,B5)</f>
        <v>2</v>
      </c>
      <c r="J5" s="16" t="str">
        <f t="shared" si="1"/>
        <v>OK</v>
      </c>
    </row>
    <row r="6">
      <c r="A6" s="8">
        <v>5.0</v>
      </c>
      <c r="B6" s="7" t="s">
        <v>81</v>
      </c>
      <c r="C6" s="7" t="s">
        <v>82</v>
      </c>
      <c r="D6" s="7" t="s">
        <v>41</v>
      </c>
      <c r="E6" s="9" t="s">
        <v>57</v>
      </c>
      <c r="F6" s="13">
        <v>8.75081</v>
      </c>
      <c r="G6" s="13">
        <v>-75.87823</v>
      </c>
      <c r="H6" s="9" t="s">
        <v>83</v>
      </c>
      <c r="I6" s="14">
        <f>COUNTIF(Conexiones!$A$2:$A$60,B6)+COUNTIF(Conexiones!$B$2:$B$60,B6)</f>
        <v>2</v>
      </c>
      <c r="J6" s="16" t="str">
        <f t="shared" si="1"/>
        <v>OK</v>
      </c>
    </row>
    <row r="7">
      <c r="A7" s="8">
        <v>6.0</v>
      </c>
      <c r="B7" s="7" t="s">
        <v>73</v>
      </c>
      <c r="C7" s="7" t="s">
        <v>84</v>
      </c>
      <c r="D7" s="7" t="s">
        <v>85</v>
      </c>
      <c r="E7" s="9" t="s">
        <v>75</v>
      </c>
      <c r="F7" s="13">
        <v>6.24475</v>
      </c>
      <c r="G7" s="13">
        <v>-75.5748</v>
      </c>
      <c r="H7" s="18" t="s">
        <v>86</v>
      </c>
      <c r="I7" s="14">
        <f>COUNTIF(Conexiones!$A$2:$A$60,B7)+COUNTIF(Conexiones!$B$2:$B$60,B7)</f>
        <v>4</v>
      </c>
      <c r="J7" s="16" t="str">
        <f t="shared" si="1"/>
        <v>OK</v>
      </c>
    </row>
    <row r="8">
      <c r="A8" s="8">
        <v>7.0</v>
      </c>
      <c r="B8" s="7" t="s">
        <v>74</v>
      </c>
      <c r="C8" s="7" t="s">
        <v>87</v>
      </c>
      <c r="D8" s="7" t="s">
        <v>85</v>
      </c>
      <c r="E8" s="9" t="s">
        <v>57</v>
      </c>
      <c r="F8" s="13">
        <v>5.0668</v>
      </c>
      <c r="G8" s="13">
        <v>-75.50684</v>
      </c>
      <c r="H8" s="17" t="s">
        <v>88</v>
      </c>
      <c r="I8" s="14">
        <f>COUNTIF(Conexiones!$A$2:$A$60,B8)+COUNTIF(Conexiones!$B$2:$B$60,B8)</f>
        <v>3</v>
      </c>
      <c r="J8" s="16" t="str">
        <f t="shared" si="1"/>
        <v>OK</v>
      </c>
    </row>
    <row r="9">
      <c r="A9" s="8">
        <v>8.0</v>
      </c>
      <c r="B9" s="7" t="s">
        <v>54</v>
      </c>
      <c r="C9" s="7" t="s">
        <v>89</v>
      </c>
      <c r="D9" s="7" t="s">
        <v>85</v>
      </c>
      <c r="E9" s="9" t="s">
        <v>75</v>
      </c>
      <c r="F9" s="13">
        <v>4.81428</v>
      </c>
      <c r="G9" s="13">
        <v>-75.69488</v>
      </c>
      <c r="H9" s="15" t="s">
        <v>90</v>
      </c>
      <c r="I9" s="14">
        <f>COUNTIF(Conexiones!$A$2:$A$60,B9)+COUNTIF(Conexiones!$B$2:$B$60,B9)</f>
        <v>4</v>
      </c>
      <c r="J9" s="16" t="str">
        <f t="shared" si="1"/>
        <v>OK</v>
      </c>
    </row>
    <row r="10">
      <c r="A10" s="8">
        <v>9.0</v>
      </c>
      <c r="B10" s="7" t="s">
        <v>53</v>
      </c>
      <c r="C10" s="7" t="s">
        <v>91</v>
      </c>
      <c r="D10" s="7" t="s">
        <v>85</v>
      </c>
      <c r="E10" s="9" t="s">
        <v>44</v>
      </c>
      <c r="F10" s="13">
        <v>4.5333</v>
      </c>
      <c r="G10" s="13">
        <v>-75.6833</v>
      </c>
      <c r="H10" s="9" t="s">
        <v>92</v>
      </c>
      <c r="I10" s="14">
        <f>COUNTIF(Conexiones!$A$2:$A$60,B10)+COUNTIF(Conexiones!$B$2:$B$60,B10)</f>
        <v>3</v>
      </c>
      <c r="J10" s="16" t="str">
        <f t="shared" si="1"/>
        <v>OK</v>
      </c>
    </row>
    <row r="11">
      <c r="A11" s="8">
        <v>10.0</v>
      </c>
      <c r="B11" s="7" t="s">
        <v>59</v>
      </c>
      <c r="C11" s="7" t="s">
        <v>93</v>
      </c>
      <c r="D11" s="7" t="s">
        <v>85</v>
      </c>
      <c r="E11" s="9" t="s">
        <v>75</v>
      </c>
      <c r="F11" s="13">
        <v>3.43054</v>
      </c>
      <c r="G11" s="13">
        <v>-76.5199</v>
      </c>
      <c r="H11" s="15" t="s">
        <v>94</v>
      </c>
      <c r="I11" s="14">
        <f>COUNTIF(Conexiones!$A$2:$A$60,B11)+COUNTIF(Conexiones!$B$2:$B$60,B11)</f>
        <v>3</v>
      </c>
      <c r="J11" s="16" t="str">
        <f t="shared" si="1"/>
        <v>OK</v>
      </c>
    </row>
    <row r="12">
      <c r="A12" s="8">
        <v>11.0</v>
      </c>
      <c r="B12" s="7" t="s">
        <v>70</v>
      </c>
      <c r="C12" s="7" t="s">
        <v>95</v>
      </c>
      <c r="D12" s="7" t="s">
        <v>96</v>
      </c>
      <c r="E12" s="9" t="s">
        <v>42</v>
      </c>
      <c r="F12" s="13">
        <v>4.57937</v>
      </c>
      <c r="G12" s="13">
        <v>-74.21682</v>
      </c>
      <c r="H12" s="18" t="s">
        <v>97</v>
      </c>
      <c r="I12" s="14">
        <f>COUNTIF(Conexiones!$A$2:$A$60,B12)+COUNTIF(Conexiones!$B$2:$B$60,B12)</f>
        <v>3</v>
      </c>
      <c r="J12" s="16" t="str">
        <f t="shared" si="1"/>
        <v>OK</v>
      </c>
    </row>
    <row r="13">
      <c r="A13" s="8">
        <v>12.0</v>
      </c>
      <c r="B13" s="7" t="s">
        <v>66</v>
      </c>
      <c r="C13" s="7" t="s">
        <v>98</v>
      </c>
      <c r="D13" s="7" t="s">
        <v>96</v>
      </c>
      <c r="E13" s="9" t="s">
        <v>57</v>
      </c>
      <c r="F13" s="13">
        <v>5.54481</v>
      </c>
      <c r="G13" s="13">
        <v>-73.35756</v>
      </c>
      <c r="H13" s="17" t="s">
        <v>99</v>
      </c>
      <c r="I13" s="14">
        <f>COUNTIF(Conexiones!$A$2:$A$60,B13)+COUNTIF(Conexiones!$B$2:$B$60,B13)</f>
        <v>2</v>
      </c>
      <c r="J13" s="16" t="str">
        <f t="shared" si="1"/>
        <v>OK</v>
      </c>
    </row>
    <row r="14">
      <c r="A14" s="8">
        <v>13.0</v>
      </c>
      <c r="B14" s="7" t="s">
        <v>63</v>
      </c>
      <c r="C14" s="7" t="s">
        <v>100</v>
      </c>
      <c r="D14" s="7" t="s">
        <v>96</v>
      </c>
      <c r="E14" s="9" t="s">
        <v>44</v>
      </c>
      <c r="F14" s="13">
        <v>7.1275</v>
      </c>
      <c r="G14" s="13">
        <v>-73.1191</v>
      </c>
      <c r="H14" s="9" t="s">
        <v>101</v>
      </c>
      <c r="I14" s="14">
        <f>COUNTIF(Conexiones!$A$2:$A$60,B14)+COUNTIF(Conexiones!$B$2:$B$60,B14)</f>
        <v>3</v>
      </c>
      <c r="J14" s="16" t="str">
        <f t="shared" si="1"/>
        <v>OK</v>
      </c>
    </row>
    <row r="15">
      <c r="A15" s="8">
        <v>14.0</v>
      </c>
      <c r="B15" s="7" t="s">
        <v>67</v>
      </c>
      <c r="C15" s="7" t="s">
        <v>102</v>
      </c>
      <c r="D15" s="7" t="s">
        <v>96</v>
      </c>
      <c r="E15" s="9" t="s">
        <v>42</v>
      </c>
      <c r="F15" s="13">
        <v>7.90745</v>
      </c>
      <c r="G15" s="13">
        <v>-72.5049</v>
      </c>
      <c r="H15" s="17" t="s">
        <v>103</v>
      </c>
      <c r="I15" s="14">
        <f>COUNTIF(Conexiones!$A$2:$A$60,B15)+COUNTIF(Conexiones!$B$2:$B$60,B15)</f>
        <v>2</v>
      </c>
      <c r="J15" s="16" t="str">
        <f t="shared" si="1"/>
        <v>OK</v>
      </c>
    </row>
    <row r="16">
      <c r="A16" s="8">
        <v>15.0</v>
      </c>
      <c r="B16" s="7" t="s">
        <v>65</v>
      </c>
      <c r="C16" s="7" t="s">
        <v>100</v>
      </c>
      <c r="D16" s="7" t="s">
        <v>96</v>
      </c>
      <c r="E16" s="9" t="s">
        <v>75</v>
      </c>
      <c r="F16" s="13">
        <v>7.0675</v>
      </c>
      <c r="G16" s="13">
        <v>-73.8472</v>
      </c>
      <c r="H16" s="15" t="s">
        <v>104</v>
      </c>
      <c r="I16" s="14">
        <f>COUNTIF(Conexiones!$A$2:$A$60,B16)+COUNTIF(Conexiones!$B$2:$B$60,B16)</f>
        <v>2</v>
      </c>
      <c r="J16" s="16" t="str">
        <f t="shared" si="1"/>
        <v>OK</v>
      </c>
    </row>
    <row r="17">
      <c r="A17" s="8">
        <v>16.0</v>
      </c>
      <c r="B17" s="7" t="s">
        <v>69</v>
      </c>
      <c r="C17" s="7" t="s">
        <v>28</v>
      </c>
      <c r="D17" s="7" t="s">
        <v>105</v>
      </c>
      <c r="E17" s="9" t="s">
        <v>44</v>
      </c>
      <c r="F17" s="13">
        <v>4.1425</v>
      </c>
      <c r="G17" s="13">
        <v>-73.6294</v>
      </c>
      <c r="H17" s="21" t="s">
        <v>106</v>
      </c>
      <c r="I17" s="14">
        <f>COUNTIF(Conexiones!$A$2:$A$60,B17)+COUNTIF(Conexiones!$B$2:$B$60,B17)</f>
        <v>1</v>
      </c>
      <c r="J17" s="16" t="str">
        <f t="shared" si="1"/>
        <v>OK</v>
      </c>
    </row>
    <row r="18">
      <c r="A18" s="8">
        <v>17.0</v>
      </c>
      <c r="B18" s="7" t="s">
        <v>62</v>
      </c>
      <c r="C18" s="7" t="s">
        <v>107</v>
      </c>
      <c r="D18" s="7" t="s">
        <v>105</v>
      </c>
      <c r="E18" s="9" t="s">
        <v>75</v>
      </c>
      <c r="F18" s="13">
        <v>4.43778</v>
      </c>
      <c r="G18" s="13">
        <v>-75.2006</v>
      </c>
      <c r="H18" s="15" t="s">
        <v>108</v>
      </c>
      <c r="I18" s="14">
        <f>COUNTIF(Conexiones!$A$2:$A$60,B18)+COUNTIF(Conexiones!$B$2:$B$60,B18)</f>
        <v>4</v>
      </c>
      <c r="J18" s="16" t="str">
        <f t="shared" si="1"/>
        <v>OK</v>
      </c>
    </row>
    <row r="19">
      <c r="A19" s="8">
        <v>18.0</v>
      </c>
      <c r="B19" s="7" t="s">
        <v>79</v>
      </c>
      <c r="C19" s="7" t="s">
        <v>109</v>
      </c>
      <c r="D19" s="7" t="s">
        <v>105</v>
      </c>
      <c r="E19" s="9" t="s">
        <v>42</v>
      </c>
      <c r="F19" s="13">
        <v>2.93001</v>
      </c>
      <c r="G19" s="13">
        <v>-75.27973</v>
      </c>
      <c r="H19" s="17" t="s">
        <v>110</v>
      </c>
      <c r="I19" s="14">
        <f>COUNTIF(Conexiones!$A$2:$A$60,B19)+COUNTIF(Conexiones!$B$2:$B$60,B19)</f>
        <v>2</v>
      </c>
      <c r="J19" s="16" t="str">
        <f t="shared" si="1"/>
        <v>OK</v>
      </c>
    </row>
    <row r="20">
      <c r="A20" s="8">
        <v>19.0</v>
      </c>
      <c r="B20" s="7" t="s">
        <v>72</v>
      </c>
      <c r="C20" s="7" t="s">
        <v>111</v>
      </c>
      <c r="D20" s="7" t="s">
        <v>105</v>
      </c>
      <c r="E20" s="9" t="s">
        <v>75</v>
      </c>
      <c r="F20" s="13">
        <v>2.43823</v>
      </c>
      <c r="G20" s="13">
        <v>-76.61316</v>
      </c>
      <c r="H20" s="15" t="s">
        <v>112</v>
      </c>
      <c r="I20" s="14">
        <f>COUNTIF(Conexiones!$A$2:$A$60,B20)+COUNTIF(Conexiones!$B$2:$B$60,B20)</f>
        <v>3</v>
      </c>
      <c r="J20" s="16" t="str">
        <f t="shared" si="1"/>
        <v>OK</v>
      </c>
    </row>
    <row r="21" ht="15.75" customHeight="1">
      <c r="A21" s="8">
        <v>20.0</v>
      </c>
      <c r="B21" s="7" t="s">
        <v>71</v>
      </c>
      <c r="C21" s="7" t="s">
        <v>113</v>
      </c>
      <c r="D21" s="7" t="s">
        <v>105</v>
      </c>
      <c r="E21" s="9" t="s">
        <v>44</v>
      </c>
      <c r="F21" s="13">
        <v>1.2146</v>
      </c>
      <c r="G21" s="13">
        <v>-77.27181</v>
      </c>
      <c r="H21" s="9" t="s">
        <v>114</v>
      </c>
      <c r="I21" s="14">
        <f>COUNTIF(Conexiones!$A$2:$A$60,B21)+COUNTIF(Conexiones!$B$2:$B$60,B21)</f>
        <v>1</v>
      </c>
      <c r="J21" s="16" t="str">
        <f t="shared" si="1"/>
        <v>OK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21">
    <cfRule type="cellIs" dxfId="0" priority="1" operator="equal">
      <formula>"OK"</formula>
    </cfRule>
  </conditionalFormatting>
  <conditionalFormatting sqref="J2:J21">
    <cfRule type="cellIs" dxfId="1" priority="2" operator="notEqual">
      <formula>"OK"</formula>
    </cfRule>
  </conditionalFormatting>
  <dataValidations>
    <dataValidation type="decimal" allowBlank="1" showInputMessage="1" showErrorMessage="1" prompt="Latitud no válida - Escribe un número decimal con punto entre -5 y 14 (latitud de Colombia)." sqref="F2:F21">
      <formula1>-5.0</formula1>
      <formula2>14.0</formula2>
    </dataValidation>
    <dataValidation type="decimal" allowBlank="1" showInputMessage="1" showErrorMessage="1" prompt="Longitud no válida - Escribe un número decimal con punto entre -80 y -66 (longitud de Colombia, negativa)." sqref="G2:G21">
      <formula1>-80.0</formula1>
      <formula2>-66.0</formula2>
    </dataValidation>
  </dataValidations>
  <hyperlinks>
    <hyperlink r:id="rId1" ref="H3"/>
    <hyperlink r:id="rId2" ref="H5"/>
    <hyperlink r:id="rId3" ref="H8"/>
    <hyperlink r:id="rId4" ref="H12"/>
    <hyperlink r:id="rId5" ref="H13"/>
    <hyperlink r:id="rId6" ref="H15"/>
    <hyperlink r:id="rId7" ref="H19"/>
  </hyperlinks>
  <printOptions/>
  <pageMargins bottom="1.0" footer="0.0" header="0.0" left="0.75" right="0.75" top="1.0"/>
  <pageSetup fitToHeight="0"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16.0"/>
    <col customWidth="1" min="4" max="4" width="18.0"/>
    <col customWidth="1" min="5" max="5" width="36.0"/>
    <col customWidth="1" min="6" max="6" width="20.0"/>
    <col customWidth="1" min="7" max="26" width="8.71"/>
  </cols>
  <sheetData>
    <row r="1" ht="31.5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>
      <c r="A2" s="9" t="s">
        <v>37</v>
      </c>
      <c r="B2" s="9" t="s">
        <v>39</v>
      </c>
      <c r="C2" s="12">
        <v>106.0</v>
      </c>
      <c r="D2" s="9" t="s">
        <v>44</v>
      </c>
      <c r="E2" s="9" t="s">
        <v>45</v>
      </c>
      <c r="F2" s="16" t="str">
        <f t="shared" ref="F2:F60" si="1">IF(AND(A2="",B2=""),"",IF(OR(A2="",B2=""),"Falta un municipio",IF(A2=B2,"Mismo municipio",IF(COUNTIFS($A$2:$A$60,A2,$B$2:$B$60,B2)+COUNTIFS($A$2:$A$60,B2,$B$2:$B$60,A2)&gt;1,"DUPLICADA",IF(C2="","Falta km","OK")))))</f>
        <v>OK</v>
      </c>
    </row>
    <row r="3">
      <c r="A3" s="9" t="s">
        <v>37</v>
      </c>
      <c r="B3" s="9" t="s">
        <v>51</v>
      </c>
      <c r="C3" s="12">
        <v>260.0</v>
      </c>
      <c r="D3" s="9" t="s">
        <v>44</v>
      </c>
      <c r="E3" s="9" t="s">
        <v>45</v>
      </c>
      <c r="F3" s="16" t="str">
        <f t="shared" si="1"/>
        <v>OK</v>
      </c>
    </row>
    <row r="4">
      <c r="A4" s="9" t="s">
        <v>53</v>
      </c>
      <c r="B4" s="9" t="s">
        <v>54</v>
      </c>
      <c r="C4" s="12">
        <v>45.5</v>
      </c>
      <c r="D4" s="9" t="s">
        <v>44</v>
      </c>
      <c r="E4" s="9" t="s">
        <v>45</v>
      </c>
      <c r="F4" s="16" t="str">
        <f t="shared" si="1"/>
        <v>OK</v>
      </c>
    </row>
    <row r="5">
      <c r="A5" s="9" t="s">
        <v>53</v>
      </c>
      <c r="B5" s="9" t="s">
        <v>59</v>
      </c>
      <c r="C5" s="12">
        <v>179.0</v>
      </c>
      <c r="D5" s="9" t="s">
        <v>44</v>
      </c>
      <c r="E5" s="9" t="s">
        <v>45</v>
      </c>
      <c r="F5" s="16" t="str">
        <f t="shared" si="1"/>
        <v>OK</v>
      </c>
    </row>
    <row r="6">
      <c r="A6" s="9" t="s">
        <v>53</v>
      </c>
      <c r="B6" s="9" t="s">
        <v>62</v>
      </c>
      <c r="C6" s="12">
        <v>73.1</v>
      </c>
      <c r="D6" s="9" t="s">
        <v>44</v>
      </c>
      <c r="E6" s="9" t="s">
        <v>45</v>
      </c>
      <c r="F6" s="16" t="str">
        <f t="shared" si="1"/>
        <v>OK</v>
      </c>
    </row>
    <row r="7">
      <c r="A7" s="9" t="s">
        <v>63</v>
      </c>
      <c r="B7" s="9" t="s">
        <v>65</v>
      </c>
      <c r="C7" s="12">
        <v>114.0</v>
      </c>
      <c r="D7" s="9" t="s">
        <v>44</v>
      </c>
      <c r="E7" s="9" t="s">
        <v>45</v>
      </c>
      <c r="F7" s="16" t="str">
        <f t="shared" si="1"/>
        <v>OK</v>
      </c>
    </row>
    <row r="8">
      <c r="A8" s="9" t="s">
        <v>63</v>
      </c>
      <c r="B8" s="9" t="s">
        <v>66</v>
      </c>
      <c r="C8" s="12">
        <v>282.0</v>
      </c>
      <c r="D8" s="9" t="s">
        <v>44</v>
      </c>
      <c r="E8" s="9" t="s">
        <v>45</v>
      </c>
      <c r="F8" s="16" t="str">
        <f t="shared" si="1"/>
        <v>OK</v>
      </c>
    </row>
    <row r="9">
      <c r="A9" s="9" t="s">
        <v>63</v>
      </c>
      <c r="B9" s="9" t="s">
        <v>67</v>
      </c>
      <c r="C9" s="12">
        <v>199.0</v>
      </c>
      <c r="D9" s="9" t="s">
        <v>44</v>
      </c>
      <c r="E9" s="9" t="s">
        <v>45</v>
      </c>
      <c r="F9" s="16" t="str">
        <f t="shared" si="1"/>
        <v>OK</v>
      </c>
    </row>
    <row r="10">
      <c r="A10" s="9" t="s">
        <v>69</v>
      </c>
      <c r="B10" s="9" t="s">
        <v>70</v>
      </c>
      <c r="C10" s="12">
        <v>114.0</v>
      </c>
      <c r="D10" s="9" t="s">
        <v>44</v>
      </c>
      <c r="E10" s="9" t="s">
        <v>45</v>
      </c>
      <c r="F10" s="16" t="str">
        <f t="shared" si="1"/>
        <v>OK</v>
      </c>
    </row>
    <row r="11">
      <c r="A11" s="9" t="s">
        <v>71</v>
      </c>
      <c r="B11" s="9" t="s">
        <v>72</v>
      </c>
      <c r="C11" s="12">
        <v>249.0</v>
      </c>
      <c r="D11" s="9" t="s">
        <v>44</v>
      </c>
      <c r="E11" s="9" t="s">
        <v>45</v>
      </c>
      <c r="F11" s="16" t="str">
        <f t="shared" si="1"/>
        <v>OK</v>
      </c>
    </row>
    <row r="12">
      <c r="A12" s="9" t="s">
        <v>73</v>
      </c>
      <c r="B12" s="9" t="s">
        <v>74</v>
      </c>
      <c r="C12" s="12">
        <v>221.0</v>
      </c>
      <c r="D12" s="9" t="s">
        <v>75</v>
      </c>
      <c r="E12" s="9" t="s">
        <v>45</v>
      </c>
      <c r="F12" s="16" t="str">
        <f t="shared" si="1"/>
        <v>OK</v>
      </c>
    </row>
    <row r="13">
      <c r="A13" s="9" t="s">
        <v>73</v>
      </c>
      <c r="B13" s="9" t="s">
        <v>54</v>
      </c>
      <c r="C13" s="12">
        <v>238.0</v>
      </c>
      <c r="D13" s="9" t="s">
        <v>75</v>
      </c>
      <c r="E13" s="9" t="s">
        <v>45</v>
      </c>
      <c r="F13" s="16" t="str">
        <f t="shared" si="1"/>
        <v>OK</v>
      </c>
    </row>
    <row r="14">
      <c r="A14" s="9" t="s">
        <v>54</v>
      </c>
      <c r="B14" s="9" t="s">
        <v>74</v>
      </c>
      <c r="C14" s="12">
        <v>51.0</v>
      </c>
      <c r="D14" s="9" t="s">
        <v>75</v>
      </c>
      <c r="E14" s="9" t="s">
        <v>45</v>
      </c>
      <c r="F14" s="16" t="str">
        <f t="shared" si="1"/>
        <v>OK</v>
      </c>
    </row>
    <row r="15">
      <c r="A15" s="9" t="s">
        <v>54</v>
      </c>
      <c r="B15" s="9" t="s">
        <v>59</v>
      </c>
      <c r="C15" s="12">
        <v>209.0</v>
      </c>
      <c r="D15" s="9" t="s">
        <v>75</v>
      </c>
      <c r="E15" s="9" t="s">
        <v>45</v>
      </c>
      <c r="F15" s="16" t="str">
        <f t="shared" si="1"/>
        <v>OK</v>
      </c>
    </row>
    <row r="16">
      <c r="A16" s="9" t="s">
        <v>59</v>
      </c>
      <c r="B16" s="9" t="s">
        <v>72</v>
      </c>
      <c r="C16" s="12">
        <v>180.0</v>
      </c>
      <c r="D16" s="9" t="s">
        <v>75</v>
      </c>
      <c r="E16" s="9" t="s">
        <v>45</v>
      </c>
      <c r="F16" s="16" t="str">
        <f t="shared" si="1"/>
        <v>OK</v>
      </c>
    </row>
    <row r="17">
      <c r="A17" s="9" t="s">
        <v>62</v>
      </c>
      <c r="B17" s="9" t="s">
        <v>79</v>
      </c>
      <c r="C17" s="12">
        <v>211.0</v>
      </c>
      <c r="D17" s="9" t="s">
        <v>75</v>
      </c>
      <c r="E17" s="9" t="s">
        <v>45</v>
      </c>
      <c r="F17" s="16" t="str">
        <f t="shared" si="1"/>
        <v>OK</v>
      </c>
    </row>
    <row r="18">
      <c r="A18" s="9" t="s">
        <v>62</v>
      </c>
      <c r="B18" s="9" t="s">
        <v>70</v>
      </c>
      <c r="C18" s="12">
        <v>177.0</v>
      </c>
      <c r="D18" s="9" t="s">
        <v>75</v>
      </c>
      <c r="E18" s="9" t="s">
        <v>45</v>
      </c>
      <c r="F18" s="16" t="str">
        <f t="shared" si="1"/>
        <v>OK</v>
      </c>
    </row>
    <row r="19">
      <c r="A19" s="9" t="s">
        <v>65</v>
      </c>
      <c r="B19" s="9" t="s">
        <v>73</v>
      </c>
      <c r="C19" s="12">
        <v>301.0</v>
      </c>
      <c r="D19" s="9" t="s">
        <v>75</v>
      </c>
      <c r="E19" s="9" t="s">
        <v>45</v>
      </c>
      <c r="F19" s="16" t="str">
        <f t="shared" si="1"/>
        <v>OK</v>
      </c>
    </row>
    <row r="20">
      <c r="A20" s="9" t="s">
        <v>39</v>
      </c>
      <c r="B20" s="9" t="s">
        <v>55</v>
      </c>
      <c r="C20" s="12">
        <v>134.0</v>
      </c>
      <c r="D20" s="9" t="s">
        <v>42</v>
      </c>
      <c r="E20" s="9" t="s">
        <v>45</v>
      </c>
      <c r="F20" s="16" t="str">
        <f t="shared" si="1"/>
        <v>OK</v>
      </c>
    </row>
    <row r="21" ht="15.75" customHeight="1">
      <c r="A21" s="9" t="s">
        <v>51</v>
      </c>
      <c r="B21" s="9" t="s">
        <v>67</v>
      </c>
      <c r="C21" s="12">
        <v>539.0</v>
      </c>
      <c r="D21" s="9" t="s">
        <v>57</v>
      </c>
      <c r="E21" s="9" t="s">
        <v>45</v>
      </c>
      <c r="F21" s="16" t="str">
        <f t="shared" si="1"/>
        <v>OK</v>
      </c>
    </row>
    <row r="22" ht="15.75" customHeight="1">
      <c r="A22" s="9" t="s">
        <v>81</v>
      </c>
      <c r="B22" s="9" t="s">
        <v>55</v>
      </c>
      <c r="C22" s="12">
        <v>250.0</v>
      </c>
      <c r="D22" s="9" t="s">
        <v>57</v>
      </c>
      <c r="E22" s="9" t="s">
        <v>45</v>
      </c>
      <c r="F22" s="16" t="str">
        <f t="shared" si="1"/>
        <v>OK</v>
      </c>
    </row>
    <row r="23" ht="15.75" customHeight="1">
      <c r="A23" s="9" t="s">
        <v>81</v>
      </c>
      <c r="B23" s="9" t="s">
        <v>73</v>
      </c>
      <c r="C23" s="12">
        <v>450.0</v>
      </c>
      <c r="D23" s="9" t="s">
        <v>57</v>
      </c>
      <c r="E23" s="9" t="s">
        <v>45</v>
      </c>
      <c r="F23" s="16" t="str">
        <f t="shared" si="1"/>
        <v>OK</v>
      </c>
    </row>
    <row r="24" ht="15.75" customHeight="1">
      <c r="A24" s="9" t="s">
        <v>74</v>
      </c>
      <c r="B24" s="9" t="s">
        <v>62</v>
      </c>
      <c r="C24" s="12">
        <v>161.0</v>
      </c>
      <c r="D24" s="9" t="s">
        <v>57</v>
      </c>
      <c r="E24" s="9" t="s">
        <v>45</v>
      </c>
      <c r="F24" s="16" t="str">
        <f t="shared" si="1"/>
        <v>OK</v>
      </c>
    </row>
    <row r="25" ht="15.75" customHeight="1">
      <c r="A25" s="9" t="s">
        <v>70</v>
      </c>
      <c r="B25" s="9" t="s">
        <v>66</v>
      </c>
      <c r="C25" s="12">
        <v>163.0</v>
      </c>
      <c r="D25" s="9" t="s">
        <v>42</v>
      </c>
      <c r="E25" s="9" t="s">
        <v>45</v>
      </c>
      <c r="F25" s="16" t="str">
        <f t="shared" si="1"/>
        <v>OK</v>
      </c>
    </row>
    <row r="26" ht="15.75" customHeight="1">
      <c r="A26" s="9" t="s">
        <v>79</v>
      </c>
      <c r="B26" s="9" t="s">
        <v>72</v>
      </c>
      <c r="C26" s="12">
        <v>270.0</v>
      </c>
      <c r="D26" s="9" t="s">
        <v>42</v>
      </c>
      <c r="E26" s="9" t="s">
        <v>45</v>
      </c>
      <c r="F26" s="16" t="str">
        <f t="shared" si="1"/>
        <v>OK</v>
      </c>
    </row>
    <row r="27" ht="15.75" customHeight="1">
      <c r="A27" s="19"/>
      <c r="B27" s="19"/>
      <c r="C27" s="20"/>
      <c r="D27" s="19"/>
      <c r="E27" s="19"/>
      <c r="F27" s="16" t="str">
        <f t="shared" si="1"/>
        <v/>
      </c>
    </row>
    <row r="28" ht="15.75" customHeight="1">
      <c r="A28" s="19"/>
      <c r="B28" s="19"/>
      <c r="C28" s="20"/>
      <c r="D28" s="19"/>
      <c r="E28" s="19"/>
      <c r="F28" s="16" t="str">
        <f t="shared" si="1"/>
        <v/>
      </c>
    </row>
    <row r="29" ht="15.75" customHeight="1">
      <c r="A29" s="19"/>
      <c r="B29" s="19"/>
      <c r="C29" s="20"/>
      <c r="D29" s="19"/>
      <c r="E29" s="19"/>
      <c r="F29" s="16" t="str">
        <f t="shared" si="1"/>
        <v/>
      </c>
    </row>
    <row r="30" ht="15.75" customHeight="1">
      <c r="A30" s="19"/>
      <c r="B30" s="19"/>
      <c r="C30" s="20"/>
      <c r="D30" s="19"/>
      <c r="E30" s="19"/>
      <c r="F30" s="16" t="str">
        <f t="shared" si="1"/>
        <v/>
      </c>
    </row>
    <row r="31" ht="15.75" customHeight="1">
      <c r="A31" s="19"/>
      <c r="B31" s="19"/>
      <c r="C31" s="20"/>
      <c r="D31" s="19"/>
      <c r="E31" s="19"/>
      <c r="F31" s="16" t="str">
        <f t="shared" si="1"/>
        <v/>
      </c>
    </row>
    <row r="32" ht="15.75" customHeight="1">
      <c r="A32" s="19"/>
      <c r="B32" s="19"/>
      <c r="C32" s="20"/>
      <c r="D32" s="19"/>
      <c r="E32" s="19"/>
      <c r="F32" s="16" t="str">
        <f t="shared" si="1"/>
        <v/>
      </c>
    </row>
    <row r="33" ht="15.75" customHeight="1">
      <c r="A33" s="19"/>
      <c r="B33" s="19"/>
      <c r="C33" s="20"/>
      <c r="D33" s="19"/>
      <c r="E33" s="19"/>
      <c r="F33" s="16" t="str">
        <f t="shared" si="1"/>
        <v/>
      </c>
    </row>
    <row r="34" ht="15.75" customHeight="1">
      <c r="A34" s="19"/>
      <c r="B34" s="19"/>
      <c r="C34" s="20"/>
      <c r="D34" s="19"/>
      <c r="E34" s="19"/>
      <c r="F34" s="16" t="str">
        <f t="shared" si="1"/>
        <v/>
      </c>
    </row>
    <row r="35" ht="15.75" customHeight="1">
      <c r="A35" s="19"/>
      <c r="B35" s="19"/>
      <c r="C35" s="20"/>
      <c r="D35" s="19"/>
      <c r="E35" s="19"/>
      <c r="F35" s="16" t="str">
        <f t="shared" si="1"/>
        <v/>
      </c>
    </row>
    <row r="36" ht="15.75" customHeight="1">
      <c r="A36" s="19"/>
      <c r="B36" s="19"/>
      <c r="C36" s="20"/>
      <c r="D36" s="19"/>
      <c r="E36" s="19"/>
      <c r="F36" s="16" t="str">
        <f t="shared" si="1"/>
        <v/>
      </c>
    </row>
    <row r="37" ht="15.75" customHeight="1">
      <c r="A37" s="19"/>
      <c r="B37" s="19"/>
      <c r="C37" s="20"/>
      <c r="D37" s="19"/>
      <c r="E37" s="19"/>
      <c r="F37" s="16" t="str">
        <f t="shared" si="1"/>
        <v/>
      </c>
    </row>
    <row r="38" ht="15.75" customHeight="1">
      <c r="A38" s="19"/>
      <c r="B38" s="19"/>
      <c r="C38" s="20"/>
      <c r="D38" s="19"/>
      <c r="E38" s="19"/>
      <c r="F38" s="16" t="str">
        <f t="shared" si="1"/>
        <v/>
      </c>
    </row>
    <row r="39" ht="15.75" customHeight="1">
      <c r="A39" s="19"/>
      <c r="B39" s="19"/>
      <c r="C39" s="20"/>
      <c r="D39" s="19"/>
      <c r="E39" s="19"/>
      <c r="F39" s="16" t="str">
        <f t="shared" si="1"/>
        <v/>
      </c>
    </row>
    <row r="40" ht="15.75" customHeight="1">
      <c r="A40" s="19"/>
      <c r="B40" s="19"/>
      <c r="C40" s="20"/>
      <c r="D40" s="19"/>
      <c r="E40" s="19"/>
      <c r="F40" s="16" t="str">
        <f t="shared" si="1"/>
        <v/>
      </c>
    </row>
    <row r="41" ht="15.75" customHeight="1">
      <c r="A41" s="19"/>
      <c r="B41" s="19"/>
      <c r="C41" s="20"/>
      <c r="D41" s="19"/>
      <c r="E41" s="19"/>
      <c r="F41" s="16" t="str">
        <f t="shared" si="1"/>
        <v/>
      </c>
    </row>
    <row r="42" ht="15.75" customHeight="1">
      <c r="A42" s="19"/>
      <c r="B42" s="19"/>
      <c r="C42" s="20"/>
      <c r="D42" s="19"/>
      <c r="E42" s="19"/>
      <c r="F42" s="16" t="str">
        <f t="shared" si="1"/>
        <v/>
      </c>
    </row>
    <row r="43" ht="15.75" customHeight="1">
      <c r="A43" s="19"/>
      <c r="B43" s="19"/>
      <c r="C43" s="20"/>
      <c r="D43" s="19"/>
      <c r="E43" s="19"/>
      <c r="F43" s="16" t="str">
        <f t="shared" si="1"/>
        <v/>
      </c>
    </row>
    <row r="44" ht="15.75" customHeight="1">
      <c r="A44" s="19"/>
      <c r="B44" s="19"/>
      <c r="C44" s="20"/>
      <c r="D44" s="19"/>
      <c r="E44" s="19"/>
      <c r="F44" s="16" t="str">
        <f t="shared" si="1"/>
        <v/>
      </c>
    </row>
    <row r="45" ht="15.75" customHeight="1">
      <c r="A45" s="19"/>
      <c r="B45" s="19"/>
      <c r="C45" s="20"/>
      <c r="D45" s="19"/>
      <c r="E45" s="19"/>
      <c r="F45" s="16" t="str">
        <f t="shared" si="1"/>
        <v/>
      </c>
    </row>
    <row r="46" ht="15.75" customHeight="1">
      <c r="A46" s="19"/>
      <c r="B46" s="19"/>
      <c r="C46" s="20"/>
      <c r="D46" s="19"/>
      <c r="E46" s="19"/>
      <c r="F46" s="16" t="str">
        <f t="shared" si="1"/>
        <v/>
      </c>
    </row>
    <row r="47" ht="15.75" customHeight="1">
      <c r="A47" s="19"/>
      <c r="B47" s="19"/>
      <c r="C47" s="20"/>
      <c r="D47" s="19"/>
      <c r="E47" s="19"/>
      <c r="F47" s="16" t="str">
        <f t="shared" si="1"/>
        <v/>
      </c>
    </row>
    <row r="48" ht="15.75" customHeight="1">
      <c r="A48" s="19"/>
      <c r="B48" s="19"/>
      <c r="C48" s="20"/>
      <c r="D48" s="19"/>
      <c r="E48" s="19"/>
      <c r="F48" s="16" t="str">
        <f t="shared" si="1"/>
        <v/>
      </c>
    </row>
    <row r="49" ht="15.75" customHeight="1">
      <c r="A49" s="19"/>
      <c r="B49" s="19"/>
      <c r="C49" s="20"/>
      <c r="D49" s="19"/>
      <c r="E49" s="19"/>
      <c r="F49" s="16" t="str">
        <f t="shared" si="1"/>
        <v/>
      </c>
    </row>
    <row r="50" ht="15.75" customHeight="1">
      <c r="A50" s="19"/>
      <c r="B50" s="19"/>
      <c r="C50" s="20"/>
      <c r="D50" s="19"/>
      <c r="E50" s="19"/>
      <c r="F50" s="16" t="str">
        <f t="shared" si="1"/>
        <v/>
      </c>
    </row>
    <row r="51" ht="15.75" customHeight="1">
      <c r="A51" s="19"/>
      <c r="B51" s="19"/>
      <c r="C51" s="20"/>
      <c r="D51" s="19"/>
      <c r="E51" s="19"/>
      <c r="F51" s="16" t="str">
        <f t="shared" si="1"/>
        <v/>
      </c>
    </row>
    <row r="52" ht="15.75" customHeight="1">
      <c r="A52" s="19"/>
      <c r="B52" s="19"/>
      <c r="C52" s="20"/>
      <c r="D52" s="19"/>
      <c r="E52" s="19"/>
      <c r="F52" s="16" t="str">
        <f t="shared" si="1"/>
        <v/>
      </c>
    </row>
    <row r="53" ht="15.75" customHeight="1">
      <c r="A53" s="19"/>
      <c r="B53" s="19"/>
      <c r="C53" s="20"/>
      <c r="D53" s="19"/>
      <c r="E53" s="19"/>
      <c r="F53" s="16" t="str">
        <f t="shared" si="1"/>
        <v/>
      </c>
    </row>
    <row r="54" ht="15.75" customHeight="1">
      <c r="A54" s="19"/>
      <c r="B54" s="19"/>
      <c r="C54" s="20"/>
      <c r="D54" s="19"/>
      <c r="E54" s="19"/>
      <c r="F54" s="16" t="str">
        <f t="shared" si="1"/>
        <v/>
      </c>
    </row>
    <row r="55" ht="15.75" customHeight="1">
      <c r="A55" s="19"/>
      <c r="B55" s="19"/>
      <c r="C55" s="20"/>
      <c r="D55" s="19"/>
      <c r="E55" s="19"/>
      <c r="F55" s="16" t="str">
        <f t="shared" si="1"/>
        <v/>
      </c>
    </row>
    <row r="56" ht="15.75" customHeight="1">
      <c r="A56" s="19"/>
      <c r="B56" s="19"/>
      <c r="C56" s="20"/>
      <c r="D56" s="19"/>
      <c r="E56" s="19"/>
      <c r="F56" s="16" t="str">
        <f t="shared" si="1"/>
        <v/>
      </c>
    </row>
    <row r="57" ht="15.75" customHeight="1">
      <c r="A57" s="19"/>
      <c r="B57" s="19"/>
      <c r="C57" s="20"/>
      <c r="D57" s="19"/>
      <c r="E57" s="19"/>
      <c r="F57" s="16" t="str">
        <f t="shared" si="1"/>
        <v/>
      </c>
    </row>
    <row r="58" ht="15.75" customHeight="1">
      <c r="A58" s="19"/>
      <c r="B58" s="19"/>
      <c r="C58" s="20"/>
      <c r="D58" s="19"/>
      <c r="E58" s="19"/>
      <c r="F58" s="16" t="str">
        <f t="shared" si="1"/>
        <v/>
      </c>
    </row>
    <row r="59" ht="15.75" customHeight="1">
      <c r="A59" s="19"/>
      <c r="B59" s="19"/>
      <c r="C59" s="20"/>
      <c r="D59" s="19"/>
      <c r="E59" s="19"/>
      <c r="F59" s="16" t="str">
        <f t="shared" si="1"/>
        <v/>
      </c>
    </row>
    <row r="60" ht="15.75" customHeight="1">
      <c r="A60" s="19"/>
      <c r="B60" s="19"/>
      <c r="C60" s="20"/>
      <c r="D60" s="19"/>
      <c r="E60" s="19"/>
      <c r="F60" s="16" t="str">
        <f t="shared" si="1"/>
        <v/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F2:F60">
    <cfRule type="cellIs" dxfId="0" priority="1" operator="equal">
      <formula>"OK"</formula>
    </cfRule>
  </conditionalFormatting>
  <conditionalFormatting sqref="F2:F60">
    <cfRule type="expression" dxfId="2" priority="2">
      <formula>AND(F2&lt;&gt;"",F2&lt;&gt;"OK")</formula>
    </cfRule>
  </conditionalFormatting>
  <dataValidations>
    <dataValidation type="list" allowBlank="1" showInputMessage="1" showErrorMessage="1" prompt="Municipio no válido - Elige un municipio de la lista desplegable." sqref="A2:B60">
      <formula1>Municipios!$B$2:$B$21</formula1>
    </dataValidation>
    <dataValidation type="decimal" operator="greaterThan" allowBlank="1" showInputMessage="1" showErrorMessage="1" prompt="Km no válidos - Escribe un número mayor que 0, con punto para los decimales." sqref="C2:C60">
      <formula1>0.0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6.0"/>
    <col customWidth="1" min="2" max="2" width="12.0"/>
    <col customWidth="1" min="3" max="3" width="40.0"/>
    <col customWidth="1" min="4" max="4" width="12.0"/>
    <col customWidth="1" min="5" max="26" width="8.71"/>
  </cols>
  <sheetData>
    <row r="1">
      <c r="A1" s="5" t="s">
        <v>10</v>
      </c>
    </row>
    <row r="3">
      <c r="A3" s="2" t="s">
        <v>18</v>
      </c>
      <c r="B3" s="2" t="s">
        <v>26</v>
      </c>
      <c r="C3" s="2" t="s">
        <v>28</v>
      </c>
      <c r="D3" s="2" t="s">
        <v>31</v>
      </c>
    </row>
    <row r="4" ht="30.0" customHeight="1">
      <c r="A4" s="7" t="s">
        <v>34</v>
      </c>
      <c r="B4" s="14">
        <f>COUNTA(Municipios!E2:E21)</f>
        <v>20</v>
      </c>
      <c r="C4" s="7" t="s">
        <v>47</v>
      </c>
      <c r="D4" s="14" t="str">
        <f t="shared" ref="D4:D5" si="1">IF(B4=20,"OK","Falta")</f>
        <v>OK</v>
      </c>
    </row>
    <row r="5" ht="30.0" customHeight="1">
      <c r="A5" s="7" t="s">
        <v>48</v>
      </c>
      <c r="B5" s="14">
        <f>SUMPRODUCT((Municipios!F2:F21&lt;&gt;"")*(Municipios!G2:G21&lt;&gt;""))</f>
        <v>20</v>
      </c>
      <c r="C5" s="7" t="s">
        <v>47</v>
      </c>
      <c r="D5" s="14" t="str">
        <f t="shared" si="1"/>
        <v>OK</v>
      </c>
    </row>
    <row r="6" ht="30.0" customHeight="1">
      <c r="A6" s="7" t="s">
        <v>49</v>
      </c>
      <c r="B6" s="14">
        <f>COUNTIF(Conexiones!F2:F60,"OK")</f>
        <v>25</v>
      </c>
      <c r="C6" s="7" t="s">
        <v>50</v>
      </c>
      <c r="D6" s="14" t="str">
        <f>IF(B6&gt;=19,"OK","Falta")</f>
        <v>OK</v>
      </c>
    </row>
    <row r="7" ht="30.0" customHeight="1">
      <c r="A7" s="7" t="s">
        <v>52</v>
      </c>
      <c r="B7" s="14">
        <f>SUMPRODUCT((Conexiones!F2:F60&lt;&gt;"")*(Conexiones!F2:F60&lt;&gt;"OK"))</f>
        <v>0</v>
      </c>
      <c r="C7" s="7" t="s">
        <v>58</v>
      </c>
      <c r="D7" s="14" t="str">
        <f t="shared" ref="D7:D8" si="2">IF(B7=0,"OK","Revisar")</f>
        <v>OK</v>
      </c>
    </row>
    <row r="8" ht="30.0" customHeight="1">
      <c r="A8" s="7" t="s">
        <v>61</v>
      </c>
      <c r="B8" s="14">
        <f>COUNTIF(Municipios!I2:I21,0)</f>
        <v>0</v>
      </c>
      <c r="C8" s="7" t="s">
        <v>58</v>
      </c>
      <c r="D8" s="14" t="str">
        <f t="shared" si="2"/>
        <v>OK</v>
      </c>
    </row>
    <row r="9" ht="30.0" customHeight="1">
      <c r="A9" s="7" t="s">
        <v>64</v>
      </c>
      <c r="B9" s="14">
        <f>COUNTIF(Municipios!J2:J21,"OK")</f>
        <v>20</v>
      </c>
      <c r="C9" s="7" t="s">
        <v>47</v>
      </c>
      <c r="D9" s="14" t="str">
        <f>IF(B9=20,"OK","Falta")</f>
        <v>OK</v>
      </c>
    </row>
    <row r="11" ht="45.0" customHeight="1">
      <c r="A11" s="11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:D11"/>
  </mergeCells>
  <conditionalFormatting sqref="D4:D9">
    <cfRule type="cellIs" dxfId="0" priority="1" operator="equal">
      <formula>"OK"</formula>
    </cfRule>
  </conditionalFormatting>
  <conditionalFormatting sqref="D4:D9">
    <cfRule type="cellIs" dxfId="1" priority="2" operator="notEqual">
      <formula>"OK"</formula>
    </cfRule>
  </conditionalFormatting>
  <printOptions/>
  <pageMargins bottom="1.0" footer="0.0" header="0.0" left="0.75" right="0.75" top="1.0"/>
  <pageSetup fitToHeight="0" orientation="portrait"/>
  <drawing r:id="rId1"/>
</worksheet>
</file>